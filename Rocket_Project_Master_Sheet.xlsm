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28705" codeName="{00000000-0000-0000-0000-000000000000}"/>
  <workbookPr codeName="ThisWorkbook" autoCompressPictures="0"/>
  <bookViews>
    <workbookView xWindow="380" yWindow="640" windowWidth="25860" windowHeight="18800"/>
  </bookViews>
  <sheets>
    <sheet name="Sheet1" sheetId="1" r:id="rId1"/>
  </sheet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D23" i="1"/>
  <c r="D22" i="1"/>
  <c r="D20" i="1"/>
  <c r="D16" i="1"/>
  <c r="D12" i="1"/>
  <c r="D11" i="1"/>
  <c r="D10" i="1"/>
  <c r="D9" i="1"/>
  <c r="D8" i="1"/>
  <c r="D7" i="1"/>
  <c r="D5" i="1"/>
</calcChain>
</file>

<file path=xl/sharedStrings.xml><?xml version="1.0" encoding="utf-8"?>
<sst xmlns="http://schemas.openxmlformats.org/spreadsheetml/2006/main" count="87" uniqueCount="75">
  <si>
    <t>Computer program parameters</t>
  </si>
  <si>
    <t>t</t>
  </si>
  <si>
    <t>printing interval</t>
  </si>
  <si>
    <t>Rocket properties</t>
  </si>
  <si>
    <t>f</t>
  </si>
  <si>
    <t>m</t>
  </si>
  <si>
    <t>C</t>
  </si>
  <si>
    <t>L</t>
  </si>
  <si>
    <t>Material properties and constants</t>
  </si>
  <si>
    <t>g</t>
  </si>
  <si>
    <t>c</t>
  </si>
  <si>
    <t>T</t>
  </si>
  <si>
    <t>(s)</t>
  </si>
  <si>
    <t>(Pa)</t>
  </si>
  <si>
    <t>(K)</t>
  </si>
  <si>
    <t>(N)</t>
  </si>
  <si>
    <t>x</t>
  </si>
  <si>
    <t>(kg)</t>
  </si>
  <si>
    <t>(m/s)</t>
  </si>
  <si>
    <t>(m)</t>
  </si>
  <si>
    <t>Quantity</t>
  </si>
  <si>
    <t>Units</t>
  </si>
  <si>
    <t>SI Units</t>
  </si>
  <si>
    <t>s</t>
  </si>
  <si>
    <t>Launcher properties</t>
  </si>
  <si>
    <t>in</t>
  </si>
  <si>
    <t>psig</t>
  </si>
  <si>
    <t>Pa (abs)</t>
  </si>
  <si>
    <t>kg</t>
  </si>
  <si>
    <t>Pa</t>
  </si>
  <si>
    <t>R</t>
  </si>
  <si>
    <t>g/mol</t>
  </si>
  <si>
    <t>atm</t>
  </si>
  <si>
    <t>g/mL</t>
  </si>
  <si>
    <t>m/s</t>
  </si>
  <si>
    <t>kg/mol</t>
  </si>
  <si>
    <t>kg/m^3</t>
  </si>
  <si>
    <t>K</t>
  </si>
  <si>
    <t>0 indicates no launch tube</t>
  </si>
  <si>
    <t>from nozzle diameter</t>
  </si>
  <si>
    <t>Key Parameters during Phase 2,3,4</t>
  </si>
  <si>
    <r>
      <rPr>
        <sz val="11"/>
        <color theme="1"/>
        <rFont val="Dubai"/>
        <family val="2"/>
      </rPr>
      <t>Δ</t>
    </r>
    <r>
      <rPr>
        <sz val="11"/>
        <color theme="1"/>
        <rFont val="Calibri"/>
        <family val="2"/>
        <scheme val="minor"/>
      </rPr>
      <t>t</t>
    </r>
  </si>
  <si>
    <r>
      <t>V</t>
    </r>
    <r>
      <rPr>
        <vertAlign val="subscript"/>
        <sz val="11"/>
        <color theme="1"/>
        <rFont val="Calibri"/>
        <family val="2"/>
        <scheme val="minor"/>
      </rPr>
      <t>bottle</t>
    </r>
  </si>
  <si>
    <r>
      <t>D</t>
    </r>
    <r>
      <rPr>
        <vertAlign val="subscript"/>
        <sz val="11"/>
        <color theme="1"/>
        <rFont val="Calibri"/>
        <family val="2"/>
        <scheme val="minor"/>
      </rPr>
      <t>n</t>
    </r>
  </si>
  <si>
    <r>
      <t>A</t>
    </r>
    <r>
      <rPr>
        <vertAlign val="subscript"/>
        <sz val="11"/>
        <color theme="1"/>
        <rFont val="Calibri"/>
        <family val="2"/>
        <scheme val="minor"/>
      </rPr>
      <t>nozzle</t>
    </r>
  </si>
  <si>
    <r>
      <t>A</t>
    </r>
    <r>
      <rPr>
        <vertAlign val="subscript"/>
        <sz val="11"/>
        <color theme="1"/>
        <rFont val="Calibri"/>
        <family val="2"/>
        <scheme val="minor"/>
      </rPr>
      <t>projected</t>
    </r>
  </si>
  <si>
    <r>
      <t>m</t>
    </r>
    <r>
      <rPr>
        <vertAlign val="subscript"/>
        <sz val="11"/>
        <color theme="1"/>
        <rFont val="Calibri"/>
        <family val="2"/>
        <scheme val="minor"/>
      </rPr>
      <t>payload</t>
    </r>
  </si>
  <si>
    <r>
      <t>m</t>
    </r>
    <r>
      <rPr>
        <vertAlign val="subscript"/>
        <sz val="11"/>
        <color theme="1"/>
        <rFont val="Calibri"/>
        <family val="2"/>
        <scheme val="minor"/>
      </rPr>
      <t>rocket</t>
    </r>
  </si>
  <si>
    <r>
      <t>P</t>
    </r>
    <r>
      <rPr>
        <vertAlign val="subscript"/>
        <sz val="11"/>
        <color theme="1"/>
        <rFont val="Calibri"/>
        <family val="2"/>
        <scheme val="minor"/>
      </rPr>
      <t>air,0</t>
    </r>
  </si>
  <si>
    <r>
      <t>C</t>
    </r>
    <r>
      <rPr>
        <vertAlign val="subscript"/>
        <sz val="11"/>
        <color theme="1"/>
        <rFont val="Calibri"/>
        <family val="2"/>
        <scheme val="minor"/>
      </rPr>
      <t>d</t>
    </r>
  </si>
  <si>
    <r>
      <t>in</t>
    </r>
    <r>
      <rPr>
        <vertAlign val="superscript"/>
        <sz val="11"/>
        <color theme="1"/>
        <rFont val="Calibri"/>
        <family val="2"/>
        <scheme val="minor"/>
      </rPr>
      <t>2</t>
    </r>
  </si>
  <si>
    <t>in2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</si>
  <si>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</si>
  <si>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m2</t>
  </si>
  <si>
    <r>
      <t>L</t>
    </r>
    <r>
      <rPr>
        <vertAlign val="subscript"/>
        <sz val="11"/>
        <color theme="1"/>
        <rFont val="Calibri"/>
        <family val="2"/>
        <scheme val="minor"/>
      </rPr>
      <t>t</t>
    </r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</si>
  <si>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</si>
  <si>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t>γ</t>
  </si>
  <si>
    <r>
      <t>P</t>
    </r>
    <r>
      <rPr>
        <vertAlign val="subscript"/>
        <sz val="11"/>
        <color theme="1"/>
        <rFont val="Calibri"/>
        <family val="2"/>
        <scheme val="minor"/>
      </rPr>
      <t>atm</t>
    </r>
  </si>
  <si>
    <r>
      <rPr>
        <sz val="11"/>
        <color theme="1"/>
        <rFont val="Calibri"/>
        <family val="2"/>
      </rPr>
      <t>ρ</t>
    </r>
    <r>
      <rPr>
        <vertAlign val="subscript"/>
        <sz val="11"/>
        <color theme="1"/>
        <rFont val="Calibri"/>
        <family val="2"/>
      </rPr>
      <t>water</t>
    </r>
  </si>
  <si>
    <r>
      <t>T</t>
    </r>
    <r>
      <rPr>
        <vertAlign val="subscript"/>
        <sz val="11"/>
        <color theme="1"/>
        <rFont val="Calibri"/>
        <family val="2"/>
        <scheme val="minor"/>
      </rPr>
      <t>amb</t>
    </r>
  </si>
  <si>
    <r>
      <rPr>
        <sz val="11"/>
        <color theme="1"/>
        <rFont val="Calibri"/>
        <family val="2"/>
      </rPr>
      <t>°</t>
    </r>
    <r>
      <rPr>
        <sz val="11"/>
        <color theme="1"/>
        <rFont val="Calibri"/>
        <family val="2"/>
        <scheme val="minor"/>
      </rPr>
      <t>F</t>
    </r>
  </si>
  <si>
    <r>
      <t>Pa * m</t>
    </r>
    <r>
      <rPr>
        <vertAlign val="superscript"/>
        <sz val="11"/>
        <color theme="1"/>
        <rFont val="Calibri"/>
        <family val="2"/>
        <scheme val="minor"/>
      </rPr>
      <t xml:space="preserve">3 </t>
    </r>
    <r>
      <rPr>
        <sz val="11"/>
        <color theme="1"/>
        <rFont val="Calibri"/>
        <family val="2"/>
        <scheme val="minor"/>
      </rPr>
      <t>/ (mol * K)</t>
    </r>
  </si>
  <si>
    <r>
      <t>m/s</t>
    </r>
    <r>
      <rPr>
        <vertAlign val="superscript"/>
        <sz val="11"/>
        <color theme="1"/>
        <rFont val="Calibri"/>
        <family val="2"/>
        <scheme val="minor"/>
      </rPr>
      <t>2</t>
    </r>
  </si>
  <si>
    <r>
      <t>P</t>
    </r>
    <r>
      <rPr>
        <vertAlign val="subscript"/>
        <sz val="11"/>
        <color theme="1"/>
        <rFont val="Calibri"/>
        <family val="2"/>
        <scheme val="minor"/>
      </rPr>
      <t>air</t>
    </r>
  </si>
  <si>
    <r>
      <t>F</t>
    </r>
    <r>
      <rPr>
        <vertAlign val="subscript"/>
        <sz val="11"/>
        <color theme="1"/>
        <rFont val="Calibri"/>
        <family val="2"/>
        <scheme val="minor"/>
      </rPr>
      <t>thrust</t>
    </r>
  </si>
  <si>
    <r>
      <t>F</t>
    </r>
    <r>
      <rPr>
        <vertAlign val="subscript"/>
        <sz val="11"/>
        <color theme="1"/>
        <rFont val="Calibri"/>
        <family val="2"/>
        <scheme val="minor"/>
      </rPr>
      <t>gravity</t>
    </r>
  </si>
  <si>
    <r>
      <t>F</t>
    </r>
    <r>
      <rPr>
        <vertAlign val="subscript"/>
        <sz val="11"/>
        <color theme="1"/>
        <rFont val="Calibri"/>
        <family val="2"/>
        <scheme val="minor"/>
      </rPr>
      <t>drag</t>
    </r>
  </si>
  <si>
    <r>
      <t>F</t>
    </r>
    <r>
      <rPr>
        <vertAlign val="subscript"/>
        <sz val="11"/>
        <color theme="1"/>
        <rFont val="Calibri"/>
        <family val="2"/>
        <scheme val="minor"/>
      </rPr>
      <t>net</t>
    </r>
  </si>
  <si>
    <r>
      <t>m</t>
    </r>
    <r>
      <rPr>
        <vertAlign val="subscript"/>
        <sz val="11"/>
        <color theme="1"/>
        <rFont val="Calibri"/>
        <family val="2"/>
        <scheme val="minor"/>
      </rPr>
      <t>water</t>
    </r>
  </si>
  <si>
    <r>
      <t>m</t>
    </r>
    <r>
      <rPr>
        <vertAlign val="subscript"/>
        <sz val="11"/>
        <color theme="1"/>
        <rFont val="Calibri"/>
        <family val="2"/>
        <scheme val="minor"/>
      </rPr>
      <t>air</t>
    </r>
  </si>
  <si>
    <r>
      <t>m</t>
    </r>
    <r>
      <rPr>
        <vertAlign val="subscript"/>
        <sz val="11"/>
        <color theme="1"/>
        <rFont val="Calibri"/>
        <family val="2"/>
        <scheme val="minor"/>
      </rPr>
      <t>total</t>
    </r>
  </si>
  <si>
    <r>
      <t>a</t>
    </r>
    <r>
      <rPr>
        <vertAlign val="subscript"/>
        <sz val="11"/>
        <color theme="1"/>
        <rFont val="Calibri"/>
        <family val="2"/>
        <scheme val="minor"/>
      </rPr>
      <t>rocket</t>
    </r>
  </si>
  <si>
    <r>
      <t>v</t>
    </r>
    <r>
      <rPr>
        <vertAlign val="subscript"/>
        <sz val="11"/>
        <color theme="1"/>
        <rFont val="Calibri"/>
        <family val="2"/>
        <scheme val="minor"/>
      </rPr>
      <t>rocket</t>
    </r>
  </si>
  <si>
    <r>
      <t>(m/s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</si>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</sst>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Dubai"/>
      <family val="2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4" fillId="0" borderId="0" xfId="0" applyFont="1"/>
    <xf numFmtId="0" fontId="2" fillId="0" borderId="0" xfId="0" applyFont="1"/>
    <xf numFmtId="2" fontId="0" fillId="0" borderId="0" xfId="0" applyNumberFormat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31"/>
  <sheetViews>
    <sheetView tabSelected="1" workbookViewId="0">
      <selection activeCell="G18" sqref="G18"/>
    </sheetView>
  </sheetViews>
  <sheetFormatPr baseColWidth="10" defaultColWidth="8.83203125" defaultRowHeight="14" x14ac:dyDescent="0"/>
  <cols>
    <col min="1" max="1" width="28.83203125" bestFit="1" customWidth="1"/>
    <col min="2" max="2" width="12.83203125" bestFit="1" customWidth="1"/>
    <col min="3" max="3" width="8.6640625" bestFit="1" customWidth="1"/>
    <col min="5" max="5" width="16.5" bestFit="1" customWidth="1"/>
    <col min="6" max="6" width="22.5" bestFit="1" customWidth="1"/>
  </cols>
  <sheetData>
    <row r="1" spans="1:6">
      <c r="A1" t="s">
        <v>0</v>
      </c>
      <c r="B1" t="s">
        <v>20</v>
      </c>
      <c r="C1" t="s">
        <v>21</v>
      </c>
      <c r="D1" t="s">
        <v>20</v>
      </c>
      <c r="E1" t="s">
        <v>22</v>
      </c>
    </row>
    <row r="2" spans="1:6" ht="15">
      <c r="A2" t="s">
        <v>41</v>
      </c>
      <c r="B2">
        <v>1E-4</v>
      </c>
      <c r="C2" t="s">
        <v>23</v>
      </c>
      <c r="D2">
        <v>1E-4</v>
      </c>
      <c r="E2" t="s">
        <v>23</v>
      </c>
    </row>
    <row r="3" spans="1:6">
      <c r="A3" t="s">
        <v>2</v>
      </c>
      <c r="B3">
        <v>10</v>
      </c>
      <c r="D3">
        <v>10</v>
      </c>
    </row>
    <row r="4" spans="1:6">
      <c r="A4" t="s">
        <v>3</v>
      </c>
    </row>
    <row r="5" spans="1:6" ht="17">
      <c r="A5" t="s">
        <v>42</v>
      </c>
      <c r="B5">
        <v>2</v>
      </c>
      <c r="C5" t="s">
        <v>7</v>
      </c>
      <c r="D5">
        <f>B5*0.001</f>
        <v>2E-3</v>
      </c>
      <c r="E5" t="s">
        <v>74</v>
      </c>
    </row>
    <row r="6" spans="1:6">
      <c r="A6" s="1" t="s">
        <v>4</v>
      </c>
      <c r="B6">
        <v>0.25</v>
      </c>
      <c r="D6">
        <v>0.25</v>
      </c>
    </row>
    <row r="7" spans="1:6" ht="16">
      <c r="A7" t="s">
        <v>43</v>
      </c>
      <c r="B7" s="3">
        <v>0.875</v>
      </c>
      <c r="C7" t="s">
        <v>25</v>
      </c>
      <c r="D7">
        <f>B7*0.0254</f>
        <v>2.2224999999999998E-2</v>
      </c>
      <c r="E7" t="s">
        <v>5</v>
      </c>
    </row>
    <row r="8" spans="1:6" ht="17">
      <c r="A8" t="s">
        <v>44</v>
      </c>
      <c r="B8">
        <v>0.60131999999999997</v>
      </c>
      <c r="C8" t="s">
        <v>51</v>
      </c>
      <c r="D8">
        <f>B8*0.00064516</f>
        <v>3.8794761119999999E-4</v>
      </c>
      <c r="E8" t="s">
        <v>52</v>
      </c>
      <c r="F8" t="s">
        <v>39</v>
      </c>
    </row>
    <row r="9" spans="1:6" ht="17">
      <c r="A9" t="s">
        <v>45</v>
      </c>
      <c r="B9">
        <v>12.542</v>
      </c>
      <c r="C9" t="s">
        <v>50</v>
      </c>
      <c r="D9">
        <f>B9*0.00064516</f>
        <v>8.0915967200000001E-3</v>
      </c>
      <c r="E9" t="s">
        <v>53</v>
      </c>
    </row>
    <row r="10" spans="1:6" ht="16">
      <c r="A10" t="s">
        <v>46</v>
      </c>
      <c r="B10">
        <v>5.67</v>
      </c>
      <c r="C10" t="s">
        <v>9</v>
      </c>
      <c r="D10">
        <f>B10*0.001</f>
        <v>5.6699999999999997E-3</v>
      </c>
      <c r="E10" t="s">
        <v>28</v>
      </c>
    </row>
    <row r="11" spans="1:6" ht="16">
      <c r="A11" s="4" t="s">
        <v>47</v>
      </c>
      <c r="B11" s="4">
        <v>10</v>
      </c>
      <c r="C11" s="4" t="s">
        <v>9</v>
      </c>
      <c r="D11" s="4">
        <f>B11*0.001</f>
        <v>0.01</v>
      </c>
      <c r="E11" s="4" t="s">
        <v>28</v>
      </c>
    </row>
    <row r="12" spans="1:6" ht="16">
      <c r="A12" t="s">
        <v>48</v>
      </c>
      <c r="B12">
        <v>100</v>
      </c>
      <c r="C12" t="s">
        <v>26</v>
      </c>
      <c r="D12">
        <f>B12*6894.76</f>
        <v>689476</v>
      </c>
      <c r="E12" t="s">
        <v>27</v>
      </c>
    </row>
    <row r="13" spans="1:6" ht="16">
      <c r="A13" t="s">
        <v>49</v>
      </c>
      <c r="B13">
        <v>0.2</v>
      </c>
      <c r="D13">
        <v>0.2</v>
      </c>
    </row>
    <row r="14" spans="1:6">
      <c r="A14" t="s">
        <v>6</v>
      </c>
      <c r="B14">
        <v>0.98</v>
      </c>
      <c r="D14">
        <v>0.98</v>
      </c>
    </row>
    <row r="15" spans="1:6">
      <c r="A15" t="s">
        <v>24</v>
      </c>
    </row>
    <row r="16" spans="1:6" ht="16">
      <c r="A16" t="s">
        <v>54</v>
      </c>
      <c r="B16">
        <v>11</v>
      </c>
      <c r="C16" t="s">
        <v>25</v>
      </c>
      <c r="D16">
        <f>B16*0.0254</f>
        <v>0.27939999999999998</v>
      </c>
      <c r="E16" t="s">
        <v>5</v>
      </c>
      <c r="F16" t="s">
        <v>38</v>
      </c>
    </row>
    <row r="17" spans="1:13">
      <c r="A17" t="s">
        <v>8</v>
      </c>
    </row>
    <row r="18" spans="1:13" ht="16">
      <c r="A18" t="s">
        <v>9</v>
      </c>
      <c r="B18">
        <v>9.8000000000000007</v>
      </c>
      <c r="D18">
        <v>9.8000000000000007</v>
      </c>
      <c r="E18" t="s">
        <v>62</v>
      </c>
    </row>
    <row r="19" spans="1:13">
      <c r="A19" t="s">
        <v>10</v>
      </c>
      <c r="B19">
        <v>341</v>
      </c>
      <c r="D19">
        <v>341</v>
      </c>
      <c r="E19" t="s">
        <v>34</v>
      </c>
    </row>
    <row r="20" spans="1:13" ht="16">
      <c r="A20" t="s">
        <v>55</v>
      </c>
      <c r="B20">
        <v>28.97</v>
      </c>
      <c r="C20" t="s">
        <v>31</v>
      </c>
      <c r="D20">
        <f>B20*0.001</f>
        <v>2.8969999999999999E-2</v>
      </c>
      <c r="E20" t="s">
        <v>35</v>
      </c>
    </row>
    <row r="21" spans="1:13">
      <c r="A21" s="2" t="s">
        <v>56</v>
      </c>
      <c r="B21">
        <v>1.4</v>
      </c>
      <c r="D21">
        <v>1.4</v>
      </c>
    </row>
    <row r="22" spans="1:13" ht="16">
      <c r="A22" t="s">
        <v>57</v>
      </c>
      <c r="B22">
        <v>1.0025999999999999</v>
      </c>
      <c r="C22" t="s">
        <v>32</v>
      </c>
      <c r="D22">
        <f>B22*101325</f>
        <v>101588.44499999999</v>
      </c>
      <c r="E22" t="s">
        <v>29</v>
      </c>
    </row>
    <row r="23" spans="1:13" ht="16">
      <c r="A23" s="2" t="s">
        <v>58</v>
      </c>
      <c r="B23">
        <v>0.99819999999999998</v>
      </c>
      <c r="C23" t="s">
        <v>33</v>
      </c>
      <c r="D23">
        <f>B23*1000</f>
        <v>998.19999999999993</v>
      </c>
      <c r="E23" t="s">
        <v>36</v>
      </c>
    </row>
    <row r="24" spans="1:13" ht="16">
      <c r="A24" t="s">
        <v>59</v>
      </c>
      <c r="B24">
        <v>78</v>
      </c>
      <c r="C24" t="s">
        <v>60</v>
      </c>
      <c r="D24">
        <f>(B24-32)*(5/9)+273.15</f>
        <v>298.70555555555552</v>
      </c>
      <c r="E24" t="s">
        <v>37</v>
      </c>
    </row>
    <row r="25" spans="1:13" ht="16">
      <c r="A25" t="s">
        <v>30</v>
      </c>
      <c r="B25">
        <v>8.3144600000000004</v>
      </c>
      <c r="D25">
        <v>8.3144600000000004</v>
      </c>
      <c r="E25" t="s">
        <v>61</v>
      </c>
    </row>
    <row r="26" spans="1:13">
      <c r="A26" t="s">
        <v>40</v>
      </c>
    </row>
    <row r="27" spans="1:13" ht="16">
      <c r="A27" t="s">
        <v>1</v>
      </c>
      <c r="B27" t="s">
        <v>63</v>
      </c>
      <c r="C27" t="s">
        <v>11</v>
      </c>
      <c r="D27" t="s">
        <v>64</v>
      </c>
      <c r="E27" t="s">
        <v>65</v>
      </c>
      <c r="F27" t="s">
        <v>66</v>
      </c>
      <c r="G27" t="s">
        <v>67</v>
      </c>
      <c r="H27" t="s">
        <v>68</v>
      </c>
      <c r="I27" t="s">
        <v>69</v>
      </c>
      <c r="J27" t="s">
        <v>70</v>
      </c>
      <c r="K27" t="s">
        <v>71</v>
      </c>
      <c r="L27" t="s">
        <v>72</v>
      </c>
      <c r="M27" t="s">
        <v>16</v>
      </c>
    </row>
    <row r="28" spans="1:13" ht="16">
      <c r="A28" t="s">
        <v>12</v>
      </c>
      <c r="B28" t="s">
        <v>13</v>
      </c>
      <c r="C28" t="s">
        <v>14</v>
      </c>
      <c r="D28" t="s">
        <v>15</v>
      </c>
      <c r="E28" t="s">
        <v>15</v>
      </c>
      <c r="F28" t="s">
        <v>15</v>
      </c>
      <c r="G28" t="s">
        <v>15</v>
      </c>
      <c r="H28" t="s">
        <v>17</v>
      </c>
      <c r="I28" t="s">
        <v>17</v>
      </c>
      <c r="J28" t="s">
        <v>17</v>
      </c>
      <c r="K28" t="s">
        <v>73</v>
      </c>
      <c r="L28" t="s">
        <v>18</v>
      </c>
      <c r="M28" t="s">
        <v>19</v>
      </c>
    </row>
    <row r="29" spans="1:13">
      <c r="A29">
        <v>0</v>
      </c>
    </row>
    <row r="30" spans="1:13">
      <c r="A30">
        <v>1E-3</v>
      </c>
    </row>
    <row r="31" spans="1:13">
      <c r="A31">
        <v>2E-3</v>
      </c>
    </row>
  </sheetData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Tann</dc:creator>
  <cp:lastModifiedBy>Nolan Persyn</cp:lastModifiedBy>
  <dcterms:created xsi:type="dcterms:W3CDTF">2018-04-28T20:45:48Z</dcterms:created>
  <dcterms:modified xsi:type="dcterms:W3CDTF">2018-04-29T00:58:12Z</dcterms:modified>
</cp:coreProperties>
</file>